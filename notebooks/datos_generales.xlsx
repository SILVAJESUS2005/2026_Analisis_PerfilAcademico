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esus\Documents\perfil-academico\notebooks\"/>
    </mc:Choice>
  </mc:AlternateContent>
  <xr:revisionPtr revIDLastSave="0" documentId="13_ncr:1_{5E4DFA0B-A5A1-411D-BD50-8658267FB0C4}" xr6:coauthVersionLast="47" xr6:coauthVersionMax="47" xr10:uidLastSave="{00000000-0000-0000-0000-000000000000}"/>
  <bookViews>
    <workbookView xWindow="14295" yWindow="0" windowWidth="14610" windowHeight="15585" tabRatio="663" xr2:uid="{00000000-000D-0000-FFFF-FFFF00000000}"/>
  </bookViews>
  <sheets>
    <sheet name="Dat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2" l="1"/>
  <c r="R7" i="2"/>
  <c r="Q7" i="2"/>
</calcChain>
</file>

<file path=xl/sharedStrings.xml><?xml version="1.0" encoding="utf-8"?>
<sst xmlns="http://schemas.openxmlformats.org/spreadsheetml/2006/main" count="151" uniqueCount="87">
  <si>
    <t>TI23110192</t>
  </si>
  <si>
    <t>Jesús López Silva</t>
  </si>
  <si>
    <t>Masculino</t>
  </si>
  <si>
    <t>Regular</t>
  </si>
  <si>
    <t>TI23110213</t>
  </si>
  <si>
    <t>Daniel Salas Flores</t>
  </si>
  <si>
    <t>CTI2211803</t>
  </si>
  <si>
    <t>Christopher Jimenez Hurtado</t>
  </si>
  <si>
    <t>TI22110005</t>
  </si>
  <si>
    <t>Luis Angel Tapia Ramirez</t>
  </si>
  <si>
    <t xml:space="preserve">Irregular </t>
  </si>
  <si>
    <t>TI23110052</t>
  </si>
  <si>
    <t>Erik Stiven Aguilar Martinez</t>
  </si>
  <si>
    <t>TI23110049</t>
  </si>
  <si>
    <t>Evelyn Iris Hernández Vigil</t>
  </si>
  <si>
    <t>Femenino</t>
  </si>
  <si>
    <t>TI23110171</t>
  </si>
  <si>
    <t>Sandra Araceli Hernandez Muñoz</t>
  </si>
  <si>
    <t>TI23110200</t>
  </si>
  <si>
    <t>Brandy Aguilar Flores</t>
  </si>
  <si>
    <t>TI23110354</t>
  </si>
  <si>
    <t xml:space="preserve">Juan Ramón López Celaya </t>
  </si>
  <si>
    <t xml:space="preserve">Masculino </t>
  </si>
  <si>
    <t>TI23110203</t>
  </si>
  <si>
    <t>Cristian Alberto Peña Ruiz</t>
  </si>
  <si>
    <t>TI23110004</t>
  </si>
  <si>
    <t>Vanesa Gonzalez Honorato</t>
  </si>
  <si>
    <t>TI23110031</t>
  </si>
  <si>
    <t xml:space="preserve">María Isabel Duran García </t>
  </si>
  <si>
    <t>TI23110097</t>
  </si>
  <si>
    <t>Lopez Martinez Alexis</t>
  </si>
  <si>
    <t xml:space="preserve">regular </t>
  </si>
  <si>
    <t xml:space="preserve">TI23110179 </t>
  </si>
  <si>
    <t xml:space="preserve">García Molina Jesús Nicolás </t>
  </si>
  <si>
    <t>TI23110230</t>
  </si>
  <si>
    <t>Vázquez Coronado Nam_chul Bruno</t>
  </si>
  <si>
    <t>TI23110156</t>
  </si>
  <si>
    <t>Mendez Gonzalez Patricio Arturo</t>
  </si>
  <si>
    <t>TI23110248</t>
  </si>
  <si>
    <t>Manuel Alejandro Gómez Molina</t>
  </si>
  <si>
    <t>TI23110318</t>
  </si>
  <si>
    <t>Arredondo Cornejo Luis Jared</t>
  </si>
  <si>
    <t>TI23110237</t>
  </si>
  <si>
    <t>Diana Karen Mandujano Magaña</t>
  </si>
  <si>
    <t>TI23110331</t>
  </si>
  <si>
    <t>Gabriel Dassaev Rios Martinez</t>
  </si>
  <si>
    <t>TI23110032</t>
  </si>
  <si>
    <t>Omar Guijon Castro</t>
  </si>
  <si>
    <t>TI23110220</t>
  </si>
  <si>
    <t>Giovanni Jiménez Rosas</t>
  </si>
  <si>
    <t>TI23110341</t>
  </si>
  <si>
    <t>Julian Raya Arroyo</t>
  </si>
  <si>
    <t>TI23110372</t>
  </si>
  <si>
    <t>Isaac Ortiz Arias</t>
  </si>
  <si>
    <t>TI23110362</t>
  </si>
  <si>
    <t xml:space="preserve">Esteban Pérez Sánchez </t>
  </si>
  <si>
    <t>anio_escolar</t>
  </si>
  <si>
    <t>num_control</t>
  </si>
  <si>
    <t>nombre</t>
  </si>
  <si>
    <t>genero</t>
  </si>
  <si>
    <t>tecnico_bachillerato</t>
  </si>
  <si>
    <t>estatus_academico</t>
  </si>
  <si>
    <t>prom_matematicas</t>
  </si>
  <si>
    <t>prom_programacion</t>
  </si>
  <si>
    <t>prom_bd</t>
  </si>
  <si>
    <t>prom_redes</t>
  </si>
  <si>
    <t>prom_industria</t>
  </si>
  <si>
    <t>prom_proyecto</t>
  </si>
  <si>
    <t>icpc</t>
  </si>
  <si>
    <t>innovatec</t>
  </si>
  <si>
    <t>emprendimiento</t>
  </si>
  <si>
    <t>verano_ciencia</t>
  </si>
  <si>
    <t>expo_academica</t>
  </si>
  <si>
    <t>publicaciones</t>
  </si>
  <si>
    <t>cursos</t>
  </si>
  <si>
    <t>certificaciones</t>
  </si>
  <si>
    <t>proyectos_prototipo</t>
  </si>
  <si>
    <t>exposiciones_clase</t>
  </si>
  <si>
    <t>idiomas</t>
  </si>
  <si>
    <t>exp_lab_otra</t>
  </si>
  <si>
    <t>exp_lab_tics</t>
  </si>
  <si>
    <t>hobbies</t>
  </si>
  <si>
    <t xml:space="preserve">informatica </t>
  </si>
  <si>
    <t>programacion</t>
  </si>
  <si>
    <t>electronica</t>
  </si>
  <si>
    <t>general</t>
  </si>
  <si>
    <t>recusos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</si>
</sst>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right"/>
    </xf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40B5-61A7-43E3-94EF-B8358558ED1E}">
  <dimension ref="A1:Z26"/>
  <sheetViews>
    <sheetView tabSelected="1" zoomScale="70" zoomScaleNormal="70" workbookViewId="0">
      <selection activeCell="D12" sqref="D12"/>
    </sheetView>
  </sheetViews>
  <sheetFormatPr baseColWidth="10" defaultColWidth="11.42578125" defaultRowHeight="15" x14ac:dyDescent="0.25"/>
  <cols>
    <col min="1" max="1" width="14" style="4" customWidth="1"/>
    <col min="2" max="2" width="21" style="4" customWidth="1"/>
    <col min="3" max="3" width="32.7109375" style="4" bestFit="1" customWidth="1"/>
    <col min="4" max="4" width="17.5703125" style="4" customWidth="1"/>
    <col min="5" max="5" width="30.5703125" style="4" bestFit="1" customWidth="1"/>
    <col min="6" max="6" width="19.7109375" customWidth="1"/>
    <col min="7" max="7" width="13.42578125" customWidth="1"/>
    <col min="8" max="8" width="15.7109375" customWidth="1"/>
    <col min="9" max="9" width="16.5703125" customWidth="1"/>
    <col min="10" max="10" width="19.28515625" customWidth="1"/>
    <col min="11" max="11" width="13.140625" bestFit="1" customWidth="1"/>
    <col min="12" max="13" width="13.140625" customWidth="1"/>
    <col min="15" max="17" width="14.5703125" customWidth="1"/>
    <col min="18" max="19" width="13.28515625" customWidth="1"/>
    <col min="24" max="24" width="18.28515625" customWidth="1"/>
    <col min="25" max="25" width="18" customWidth="1"/>
    <col min="27" max="27" width="20" customWidth="1"/>
    <col min="30" max="30" width="18" customWidth="1"/>
  </cols>
  <sheetData>
    <row r="1" spans="1:26" ht="30" x14ac:dyDescent="0.25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6" t="s">
        <v>68</v>
      </c>
      <c r="G1" s="5" t="s">
        <v>69</v>
      </c>
      <c r="H1" s="5" t="s">
        <v>70</v>
      </c>
      <c r="I1" s="5" t="s">
        <v>71</v>
      </c>
      <c r="J1" s="6" t="s">
        <v>72</v>
      </c>
      <c r="K1" s="5" t="s">
        <v>73</v>
      </c>
      <c r="L1" s="6" t="s">
        <v>74</v>
      </c>
      <c r="M1" s="6" t="s">
        <v>75</v>
      </c>
      <c r="N1" s="7" t="s">
        <v>76</v>
      </c>
      <c r="O1" s="6" t="s">
        <v>77</v>
      </c>
      <c r="P1" s="6" t="s">
        <v>61</v>
      </c>
      <c r="Q1" s="6" t="s">
        <v>62</v>
      </c>
      <c r="R1" s="6" t="s">
        <v>63</v>
      </c>
      <c r="S1" s="6" t="s">
        <v>64</v>
      </c>
      <c r="T1" s="6" t="s">
        <v>65</v>
      </c>
      <c r="U1" s="6" t="s">
        <v>66</v>
      </c>
      <c r="V1" s="6" t="s">
        <v>67</v>
      </c>
      <c r="W1" s="6" t="s">
        <v>78</v>
      </c>
      <c r="X1" s="6" t="s">
        <v>79</v>
      </c>
      <c r="Y1" s="6" t="s">
        <v>80</v>
      </c>
      <c r="Z1" s="6" t="s">
        <v>81</v>
      </c>
    </row>
    <row r="2" spans="1:26" x14ac:dyDescent="0.25">
      <c r="A2" s="4">
        <v>2027</v>
      </c>
      <c r="B2" s="4" t="s">
        <v>0</v>
      </c>
      <c r="C2" s="4" t="s">
        <v>1</v>
      </c>
      <c r="D2" s="4" t="s">
        <v>2</v>
      </c>
      <c r="E2" s="4" t="s">
        <v>82</v>
      </c>
      <c r="F2" s="1">
        <v>5</v>
      </c>
      <c r="G2" s="1">
        <v>0</v>
      </c>
      <c r="H2" s="1">
        <v>1</v>
      </c>
      <c r="I2" s="1">
        <v>2</v>
      </c>
      <c r="J2" s="1">
        <v>5</v>
      </c>
      <c r="K2" s="1">
        <v>0</v>
      </c>
      <c r="L2" s="1">
        <v>37</v>
      </c>
      <c r="M2" s="1">
        <v>4</v>
      </c>
      <c r="N2" s="1">
        <v>8</v>
      </c>
      <c r="O2" s="1">
        <v>16</v>
      </c>
      <c r="P2" s="4" t="s">
        <v>3</v>
      </c>
      <c r="Q2" s="1">
        <v>96.5</v>
      </c>
      <c r="R2" s="1">
        <v>98.6</v>
      </c>
      <c r="S2" s="1">
        <v>97.3</v>
      </c>
      <c r="T2" s="1">
        <v>94</v>
      </c>
      <c r="U2" s="1">
        <v>97.5</v>
      </c>
      <c r="V2" s="1">
        <v>95.8</v>
      </c>
      <c r="W2" s="1">
        <v>2</v>
      </c>
      <c r="X2" s="1">
        <v>2</v>
      </c>
      <c r="Y2" s="1">
        <v>1</v>
      </c>
      <c r="Z2" s="1">
        <v>3</v>
      </c>
    </row>
    <row r="3" spans="1:26" x14ac:dyDescent="0.25">
      <c r="A3" s="4">
        <v>2027</v>
      </c>
      <c r="B3" s="4" t="s">
        <v>4</v>
      </c>
      <c r="C3" s="4" t="s">
        <v>5</v>
      </c>
      <c r="D3" s="4" t="s">
        <v>2</v>
      </c>
      <c r="E3" s="4" t="s">
        <v>85</v>
      </c>
      <c r="F3" s="1">
        <v>5</v>
      </c>
      <c r="G3" s="1">
        <v>0</v>
      </c>
      <c r="H3" s="1">
        <v>0</v>
      </c>
      <c r="I3" s="1">
        <v>2</v>
      </c>
      <c r="J3" s="1">
        <v>5</v>
      </c>
      <c r="K3" s="1">
        <v>0</v>
      </c>
      <c r="L3" s="1">
        <v>7</v>
      </c>
      <c r="M3" s="1">
        <v>0</v>
      </c>
      <c r="N3" s="1">
        <v>8</v>
      </c>
      <c r="O3" s="1">
        <v>16</v>
      </c>
      <c r="P3" s="4" t="s">
        <v>3</v>
      </c>
      <c r="Q3" s="1">
        <v>87.1</v>
      </c>
      <c r="R3" s="1">
        <v>95.5</v>
      </c>
      <c r="S3" s="1">
        <v>94</v>
      </c>
      <c r="T3" s="1">
        <v>91</v>
      </c>
      <c r="U3" s="1">
        <v>96</v>
      </c>
      <c r="V3" s="1">
        <v>91</v>
      </c>
      <c r="W3" s="1">
        <v>2</v>
      </c>
      <c r="X3" s="1">
        <v>1</v>
      </c>
      <c r="Y3" s="1">
        <v>2</v>
      </c>
      <c r="Z3" s="1">
        <v>5</v>
      </c>
    </row>
    <row r="4" spans="1:26" x14ac:dyDescent="0.25">
      <c r="A4" s="4">
        <v>2027</v>
      </c>
      <c r="B4" s="4" t="s">
        <v>6</v>
      </c>
      <c r="C4" s="4" t="s">
        <v>7</v>
      </c>
      <c r="D4" s="4" t="s">
        <v>2</v>
      </c>
      <c r="E4" s="4" t="s">
        <v>83</v>
      </c>
      <c r="F4" s="1">
        <v>0</v>
      </c>
      <c r="G4" s="1">
        <v>0</v>
      </c>
      <c r="H4" s="1">
        <v>0</v>
      </c>
      <c r="I4" s="1">
        <v>2</v>
      </c>
      <c r="J4" s="1">
        <v>0</v>
      </c>
      <c r="K4" s="1">
        <v>0</v>
      </c>
      <c r="L4" s="1">
        <v>2</v>
      </c>
      <c r="M4" s="1">
        <v>2</v>
      </c>
      <c r="N4" s="1">
        <v>12</v>
      </c>
      <c r="O4" s="1">
        <v>10</v>
      </c>
      <c r="P4" s="4" t="s">
        <v>3</v>
      </c>
      <c r="Q4" s="1">
        <v>85.88</v>
      </c>
      <c r="R4" s="1">
        <v>90</v>
      </c>
      <c r="S4" s="1">
        <v>92.5</v>
      </c>
      <c r="T4" s="1">
        <v>89</v>
      </c>
      <c r="U4" s="1">
        <v>88.25</v>
      </c>
      <c r="V4" s="1">
        <v>93.63</v>
      </c>
      <c r="W4" s="1">
        <v>2</v>
      </c>
      <c r="X4" s="1">
        <v>2</v>
      </c>
      <c r="Y4" s="1">
        <v>1</v>
      </c>
      <c r="Z4" s="1">
        <v>1</v>
      </c>
    </row>
    <row r="5" spans="1:26" x14ac:dyDescent="0.25">
      <c r="A5" s="4">
        <v>2027</v>
      </c>
      <c r="B5" s="4" t="s">
        <v>8</v>
      </c>
      <c r="C5" s="4" t="s">
        <v>9</v>
      </c>
      <c r="D5" s="4" t="s">
        <v>2</v>
      </c>
      <c r="E5" s="4" t="s">
        <v>84</v>
      </c>
      <c r="F5" s="1">
        <v>3</v>
      </c>
      <c r="G5" s="1">
        <v>0</v>
      </c>
      <c r="H5" s="1">
        <v>1</v>
      </c>
      <c r="I5" s="1">
        <v>1</v>
      </c>
      <c r="J5" s="1">
        <v>0</v>
      </c>
      <c r="K5" s="1">
        <v>0</v>
      </c>
      <c r="L5" s="1">
        <v>3</v>
      </c>
      <c r="M5" s="1">
        <v>2</v>
      </c>
      <c r="N5" s="1">
        <v>8</v>
      </c>
      <c r="O5" s="1">
        <v>16</v>
      </c>
      <c r="P5" s="4" t="s">
        <v>10</v>
      </c>
      <c r="Q5" s="1">
        <v>80.3</v>
      </c>
      <c r="R5" s="1">
        <v>89.5</v>
      </c>
      <c r="S5" s="1">
        <v>83.3</v>
      </c>
      <c r="T5" s="1">
        <v>81</v>
      </c>
      <c r="U5" s="1">
        <v>90</v>
      </c>
      <c r="V5" s="1">
        <v>87.5</v>
      </c>
      <c r="W5" s="1">
        <v>1</v>
      </c>
      <c r="X5" s="1">
        <v>2</v>
      </c>
      <c r="Y5" s="1">
        <v>1</v>
      </c>
      <c r="Z5" s="1">
        <v>2</v>
      </c>
    </row>
    <row r="6" spans="1:26" x14ac:dyDescent="0.25">
      <c r="A6" s="4">
        <v>2027</v>
      </c>
      <c r="B6" s="4" t="s">
        <v>11</v>
      </c>
      <c r="C6" s="4" t="s">
        <v>12</v>
      </c>
      <c r="D6" s="4" t="s">
        <v>2</v>
      </c>
      <c r="E6" s="4" t="s">
        <v>83</v>
      </c>
      <c r="F6" s="1">
        <v>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3</v>
      </c>
      <c r="M6" s="1">
        <v>1</v>
      </c>
      <c r="N6" s="1">
        <v>8</v>
      </c>
      <c r="O6" s="1">
        <v>16</v>
      </c>
      <c r="P6" s="4" t="s">
        <v>3</v>
      </c>
      <c r="Q6" s="1">
        <v>88.3</v>
      </c>
      <c r="R6" s="1">
        <v>89.8</v>
      </c>
      <c r="S6" s="1">
        <v>94</v>
      </c>
      <c r="T6" s="1">
        <v>87.6</v>
      </c>
      <c r="U6" s="1">
        <v>92.1</v>
      </c>
      <c r="V6" s="1">
        <v>89.7</v>
      </c>
      <c r="W6" s="1">
        <v>1</v>
      </c>
      <c r="X6" s="1">
        <v>3</v>
      </c>
      <c r="Y6" s="1">
        <v>0</v>
      </c>
      <c r="Z6" s="1">
        <v>2</v>
      </c>
    </row>
    <row r="7" spans="1:26" x14ac:dyDescent="0.25">
      <c r="A7" s="4">
        <v>2027</v>
      </c>
      <c r="B7" s="4" t="s">
        <v>13</v>
      </c>
      <c r="C7" s="4" t="s">
        <v>14</v>
      </c>
      <c r="D7" s="4" t="s">
        <v>15</v>
      </c>
      <c r="E7" s="4" t="s">
        <v>85</v>
      </c>
      <c r="F7" s="1">
        <v>3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2</v>
      </c>
      <c r="M7" s="1">
        <v>0</v>
      </c>
      <c r="N7" s="1">
        <v>8</v>
      </c>
      <c r="O7" s="1">
        <v>16</v>
      </c>
      <c r="P7" s="4" t="s">
        <v>3</v>
      </c>
      <c r="Q7" s="1">
        <f xml:space="preserve"> (90+85+85+92+95+92+85+86)/8</f>
        <v>88.75</v>
      </c>
      <c r="R7" s="1">
        <f>(91+91+94+88+96)/5</f>
        <v>92</v>
      </c>
      <c r="S7" s="1">
        <f xml:space="preserve"> (85+90+98)/3</f>
        <v>91</v>
      </c>
      <c r="T7" s="1">
        <v>89</v>
      </c>
      <c r="U7" s="1">
        <v>93</v>
      </c>
      <c r="V7" s="1">
        <v>91</v>
      </c>
      <c r="W7" s="1">
        <v>1</v>
      </c>
      <c r="X7" s="1">
        <v>2</v>
      </c>
      <c r="Y7" s="1">
        <v>0</v>
      </c>
      <c r="Z7" s="1">
        <v>3</v>
      </c>
    </row>
    <row r="8" spans="1:26" x14ac:dyDescent="0.25">
      <c r="A8" s="4">
        <v>2027</v>
      </c>
      <c r="B8" s="4" t="s">
        <v>16</v>
      </c>
      <c r="C8" s="4" t="s">
        <v>17</v>
      </c>
      <c r="D8" s="4" t="s">
        <v>15</v>
      </c>
      <c r="E8" s="4" t="s">
        <v>82</v>
      </c>
      <c r="F8" s="1">
        <v>4</v>
      </c>
      <c r="G8" s="1">
        <v>0</v>
      </c>
      <c r="H8" s="1">
        <v>2</v>
      </c>
      <c r="I8" s="1">
        <v>2</v>
      </c>
      <c r="J8" s="1">
        <v>3</v>
      </c>
      <c r="K8" s="1">
        <v>0</v>
      </c>
      <c r="L8" s="1">
        <v>9</v>
      </c>
      <c r="M8" s="1">
        <v>0</v>
      </c>
      <c r="N8" s="1">
        <v>8</v>
      </c>
      <c r="O8" s="1">
        <v>16</v>
      </c>
      <c r="P8" s="4" t="s">
        <v>3</v>
      </c>
      <c r="Q8" s="1">
        <v>95.75</v>
      </c>
      <c r="R8" s="1">
        <v>95.4</v>
      </c>
      <c r="S8" s="1">
        <v>98</v>
      </c>
      <c r="T8" s="1">
        <v>91.5</v>
      </c>
      <c r="U8" s="1">
        <v>95.5</v>
      </c>
      <c r="V8" s="1">
        <v>95.6</v>
      </c>
      <c r="W8" s="1">
        <v>1</v>
      </c>
      <c r="X8" s="1">
        <v>4</v>
      </c>
      <c r="Y8" s="1">
        <v>3</v>
      </c>
      <c r="Z8" s="1">
        <v>6</v>
      </c>
    </row>
    <row r="9" spans="1:26" x14ac:dyDescent="0.25">
      <c r="A9" s="4">
        <v>2027</v>
      </c>
      <c r="B9" s="4" t="s">
        <v>18</v>
      </c>
      <c r="C9" s="4" t="s">
        <v>19</v>
      </c>
      <c r="D9" s="4" t="s">
        <v>15</v>
      </c>
      <c r="E9" s="4" t="s">
        <v>85</v>
      </c>
      <c r="F9" s="1">
        <v>5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10</v>
      </c>
      <c r="M9" s="1">
        <v>2</v>
      </c>
      <c r="N9" s="1">
        <v>8</v>
      </c>
      <c r="O9" s="1">
        <v>16</v>
      </c>
      <c r="P9" s="4" t="s">
        <v>3</v>
      </c>
      <c r="Q9" s="1">
        <v>90</v>
      </c>
      <c r="R9" s="3">
        <v>94.4</v>
      </c>
      <c r="S9" s="1">
        <v>96</v>
      </c>
      <c r="T9" s="3">
        <v>91.5</v>
      </c>
      <c r="U9" s="1">
        <v>95</v>
      </c>
      <c r="V9" s="3">
        <v>95.25</v>
      </c>
      <c r="W9" s="1">
        <v>3</v>
      </c>
      <c r="X9" s="1">
        <v>2</v>
      </c>
      <c r="Y9" s="1">
        <v>0</v>
      </c>
      <c r="Z9" s="1">
        <v>6</v>
      </c>
    </row>
    <row r="10" spans="1:26" x14ac:dyDescent="0.25">
      <c r="A10" s="4">
        <v>2027</v>
      </c>
      <c r="B10" s="4" t="s">
        <v>20</v>
      </c>
      <c r="C10" s="4" t="s">
        <v>21</v>
      </c>
      <c r="D10" s="4" t="s">
        <v>22</v>
      </c>
      <c r="E10" s="4" t="s">
        <v>85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8</v>
      </c>
      <c r="O10" s="1">
        <v>16</v>
      </c>
      <c r="P10" s="4" t="s">
        <v>10</v>
      </c>
      <c r="Q10" s="1">
        <v>83.4</v>
      </c>
      <c r="R10" s="1">
        <v>88.4</v>
      </c>
      <c r="S10" s="1">
        <v>91.3</v>
      </c>
      <c r="T10" s="1">
        <v>91.5</v>
      </c>
      <c r="U10" s="1">
        <v>90</v>
      </c>
      <c r="V10" s="1">
        <v>90</v>
      </c>
      <c r="W10" s="1">
        <v>1</v>
      </c>
      <c r="X10" s="1">
        <v>5</v>
      </c>
      <c r="Y10" s="1">
        <v>0</v>
      </c>
      <c r="Z10" s="1">
        <v>3</v>
      </c>
    </row>
    <row r="11" spans="1:26" x14ac:dyDescent="0.25">
      <c r="A11" s="4">
        <v>2027</v>
      </c>
      <c r="B11" s="4" t="s">
        <v>23</v>
      </c>
      <c r="C11" s="4" t="s">
        <v>24</v>
      </c>
      <c r="D11" s="4" t="s">
        <v>2</v>
      </c>
      <c r="E11" s="4" t="s">
        <v>84</v>
      </c>
      <c r="F11" s="1">
        <v>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2</v>
      </c>
      <c r="M11" s="1">
        <v>3</v>
      </c>
      <c r="N11" s="1">
        <v>8</v>
      </c>
      <c r="O11" s="1">
        <v>16</v>
      </c>
      <c r="P11" s="4" t="s">
        <v>10</v>
      </c>
      <c r="Q11" s="1">
        <v>86</v>
      </c>
      <c r="R11" s="1">
        <v>84.1</v>
      </c>
      <c r="S11" s="1">
        <v>92</v>
      </c>
      <c r="T11" s="1">
        <v>90</v>
      </c>
      <c r="U11" s="1">
        <v>90</v>
      </c>
      <c r="V11" s="1">
        <v>89</v>
      </c>
      <c r="W11" s="1">
        <v>1</v>
      </c>
      <c r="X11" s="1">
        <v>4</v>
      </c>
      <c r="Y11" s="1">
        <v>1</v>
      </c>
      <c r="Z11" s="1">
        <v>3</v>
      </c>
    </row>
    <row r="12" spans="1:26" x14ac:dyDescent="0.25">
      <c r="A12" s="4">
        <v>2027</v>
      </c>
      <c r="B12" s="4" t="s">
        <v>25</v>
      </c>
      <c r="C12" s="4" t="s">
        <v>26</v>
      </c>
      <c r="D12" s="4" t="s">
        <v>15</v>
      </c>
      <c r="E12" s="4" t="s">
        <v>85</v>
      </c>
      <c r="F12" s="1">
        <v>3</v>
      </c>
      <c r="G12" s="1">
        <v>0</v>
      </c>
      <c r="H12" s="1">
        <v>1</v>
      </c>
      <c r="I12" s="1">
        <v>1</v>
      </c>
      <c r="J12" s="1">
        <v>0</v>
      </c>
      <c r="K12" s="1">
        <v>0</v>
      </c>
      <c r="L12" s="1">
        <v>5</v>
      </c>
      <c r="M12" s="1">
        <v>1</v>
      </c>
      <c r="N12" s="1">
        <v>8</v>
      </c>
      <c r="O12" s="1">
        <v>16</v>
      </c>
      <c r="P12" s="4" t="s">
        <v>3</v>
      </c>
      <c r="Q12" s="1">
        <v>96</v>
      </c>
      <c r="R12" s="1">
        <v>97</v>
      </c>
      <c r="S12" s="1">
        <v>97.5</v>
      </c>
      <c r="T12" s="1">
        <v>92</v>
      </c>
      <c r="U12" s="1">
        <v>94</v>
      </c>
      <c r="V12" s="1">
        <v>95.6</v>
      </c>
      <c r="W12" s="1">
        <v>1</v>
      </c>
      <c r="X12" s="1">
        <v>2</v>
      </c>
      <c r="Y12" s="1">
        <v>0</v>
      </c>
      <c r="Z12" s="1">
        <v>3</v>
      </c>
    </row>
    <row r="13" spans="1:26" x14ac:dyDescent="0.25">
      <c r="A13" s="4">
        <v>2027</v>
      </c>
      <c r="B13" s="4" t="s">
        <v>27</v>
      </c>
      <c r="C13" s="4" t="s">
        <v>28</v>
      </c>
      <c r="D13" s="4" t="s">
        <v>15</v>
      </c>
      <c r="E13" s="4" t="s">
        <v>82</v>
      </c>
      <c r="F13" s="1">
        <v>4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3</v>
      </c>
      <c r="M13" s="1">
        <v>1</v>
      </c>
      <c r="N13" s="1">
        <v>8</v>
      </c>
      <c r="O13" s="1">
        <v>16</v>
      </c>
      <c r="P13" s="4" t="s">
        <v>3</v>
      </c>
      <c r="Q13" s="1">
        <v>85.87</v>
      </c>
      <c r="R13" s="1">
        <v>93.42</v>
      </c>
      <c r="S13" s="1">
        <v>92.66</v>
      </c>
      <c r="T13" s="1">
        <v>93</v>
      </c>
      <c r="U13" s="1">
        <v>90</v>
      </c>
      <c r="V13" s="1">
        <v>91.6</v>
      </c>
      <c r="W13" s="1">
        <v>2</v>
      </c>
      <c r="X13" s="1">
        <v>1</v>
      </c>
      <c r="Y13" s="1">
        <v>0</v>
      </c>
      <c r="Z13" s="1">
        <v>3</v>
      </c>
    </row>
    <row r="14" spans="1:26" x14ac:dyDescent="0.25">
      <c r="A14" s="4">
        <v>2027</v>
      </c>
      <c r="B14" s="4" t="s">
        <v>29</v>
      </c>
      <c r="C14" s="4" t="s">
        <v>30</v>
      </c>
      <c r="D14" s="4" t="s">
        <v>22</v>
      </c>
      <c r="E14" s="4" t="s">
        <v>85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2</v>
      </c>
      <c r="M14" s="1">
        <v>0</v>
      </c>
      <c r="N14" s="1">
        <v>8</v>
      </c>
      <c r="O14" s="1">
        <v>16</v>
      </c>
      <c r="P14" s="4" t="s">
        <v>31</v>
      </c>
      <c r="Q14" s="1">
        <v>85.43</v>
      </c>
      <c r="R14" s="1">
        <v>87.35</v>
      </c>
      <c r="S14" s="1">
        <v>79.34</v>
      </c>
      <c r="T14" s="1">
        <v>83.45</v>
      </c>
      <c r="U14" s="1">
        <v>89.75</v>
      </c>
      <c r="V14" s="1">
        <v>83.82</v>
      </c>
      <c r="W14" s="1">
        <v>2</v>
      </c>
      <c r="X14" s="1">
        <v>5</v>
      </c>
      <c r="Y14" s="1">
        <v>2</v>
      </c>
      <c r="Z14" s="1">
        <v>3</v>
      </c>
    </row>
    <row r="15" spans="1:26" x14ac:dyDescent="0.25">
      <c r="A15" s="4">
        <v>2027</v>
      </c>
      <c r="B15" s="4" t="s">
        <v>32</v>
      </c>
      <c r="C15" s="4" t="s">
        <v>33</v>
      </c>
      <c r="D15" s="4" t="s">
        <v>22</v>
      </c>
      <c r="E15" s="4" t="s">
        <v>82</v>
      </c>
      <c r="F15" s="1">
        <v>1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2</v>
      </c>
      <c r="M15" s="1">
        <v>2</v>
      </c>
      <c r="N15" s="1">
        <v>8</v>
      </c>
      <c r="O15" s="1">
        <v>16</v>
      </c>
      <c r="P15" s="4" t="s">
        <v>3</v>
      </c>
      <c r="Q15" s="1">
        <v>81.25</v>
      </c>
      <c r="R15" s="1">
        <v>88.8</v>
      </c>
      <c r="S15" s="1">
        <v>87.67</v>
      </c>
      <c r="T15" s="1">
        <v>85</v>
      </c>
      <c r="U15" s="1">
        <v>91.33</v>
      </c>
      <c r="V15" s="1">
        <v>86</v>
      </c>
      <c r="W15" s="1">
        <v>1</v>
      </c>
      <c r="X15" s="1">
        <v>1</v>
      </c>
      <c r="Y15" s="1">
        <v>1</v>
      </c>
      <c r="Z15" s="1">
        <v>4</v>
      </c>
    </row>
    <row r="16" spans="1:26" x14ac:dyDescent="0.25">
      <c r="A16" s="4">
        <v>2027</v>
      </c>
      <c r="B16" s="4" t="s">
        <v>34</v>
      </c>
      <c r="C16" s="4" t="s">
        <v>35</v>
      </c>
      <c r="D16" s="4" t="s">
        <v>22</v>
      </c>
      <c r="E16" s="4" t="s">
        <v>85</v>
      </c>
      <c r="F16" s="1">
        <v>4</v>
      </c>
      <c r="G16" s="1">
        <v>0</v>
      </c>
      <c r="H16" s="1">
        <v>0</v>
      </c>
      <c r="I16" s="1">
        <v>2</v>
      </c>
      <c r="J16" s="1">
        <v>0</v>
      </c>
      <c r="K16" s="1">
        <v>0</v>
      </c>
      <c r="L16" s="1">
        <v>4</v>
      </c>
      <c r="M16" s="1">
        <v>1</v>
      </c>
      <c r="N16" s="1">
        <v>8</v>
      </c>
      <c r="O16" s="1">
        <v>16</v>
      </c>
      <c r="P16" s="4" t="s">
        <v>3</v>
      </c>
      <c r="Q16" s="2">
        <v>83.5</v>
      </c>
      <c r="R16" s="2">
        <v>85.2</v>
      </c>
      <c r="S16" s="2">
        <v>83.33</v>
      </c>
      <c r="T16" s="2">
        <v>87.75</v>
      </c>
      <c r="U16" s="2">
        <v>84</v>
      </c>
      <c r="V16" s="2">
        <v>88.4</v>
      </c>
      <c r="W16" s="1">
        <v>3</v>
      </c>
      <c r="X16" s="1">
        <v>1</v>
      </c>
      <c r="Y16" s="1">
        <v>0</v>
      </c>
      <c r="Z16" s="1">
        <v>5</v>
      </c>
    </row>
    <row r="17" spans="1:26" x14ac:dyDescent="0.25">
      <c r="A17" s="4">
        <v>2027</v>
      </c>
      <c r="B17" s="4" t="s">
        <v>36</v>
      </c>
      <c r="C17" s="4" t="s">
        <v>37</v>
      </c>
      <c r="D17" s="4" t="s">
        <v>22</v>
      </c>
      <c r="E17" s="4" t="s">
        <v>85</v>
      </c>
      <c r="F17" s="1">
        <v>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8</v>
      </c>
      <c r="O17" s="1">
        <v>16</v>
      </c>
      <c r="P17" s="4" t="s">
        <v>3</v>
      </c>
      <c r="Q17" s="1">
        <v>88.1</v>
      </c>
      <c r="R17" s="1">
        <v>94</v>
      </c>
      <c r="S17" s="1">
        <v>90</v>
      </c>
      <c r="T17" s="1">
        <v>91</v>
      </c>
      <c r="U17" s="1">
        <v>92.5</v>
      </c>
      <c r="V17" s="1">
        <v>91.5</v>
      </c>
      <c r="W17" s="1">
        <v>2</v>
      </c>
      <c r="X17" s="1">
        <v>1</v>
      </c>
      <c r="Y17" s="1">
        <v>0</v>
      </c>
      <c r="Z17" s="1">
        <v>4</v>
      </c>
    </row>
    <row r="18" spans="1:26" x14ac:dyDescent="0.25">
      <c r="A18" s="4">
        <v>2026</v>
      </c>
      <c r="B18" s="4" t="s">
        <v>38</v>
      </c>
      <c r="C18" s="4" t="s">
        <v>39</v>
      </c>
      <c r="D18" s="4" t="s">
        <v>22</v>
      </c>
      <c r="E18" s="4" t="s">
        <v>83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8</v>
      </c>
      <c r="O18" s="1">
        <v>16</v>
      </c>
      <c r="P18" s="4" t="s">
        <v>3</v>
      </c>
      <c r="Q18" s="1">
        <v>87.9</v>
      </c>
      <c r="R18" s="1">
        <v>90</v>
      </c>
      <c r="S18" s="1">
        <v>85</v>
      </c>
      <c r="T18" s="1">
        <v>85</v>
      </c>
      <c r="U18" s="1">
        <v>85</v>
      </c>
      <c r="V18" s="1">
        <v>85</v>
      </c>
      <c r="W18" s="1">
        <v>1</v>
      </c>
      <c r="X18" s="1">
        <v>4</v>
      </c>
      <c r="Y18" s="1">
        <v>1</v>
      </c>
      <c r="Z18" s="1">
        <v>4</v>
      </c>
    </row>
    <row r="19" spans="1:26" x14ac:dyDescent="0.25">
      <c r="A19" s="4">
        <v>2027</v>
      </c>
      <c r="B19" s="4" t="s">
        <v>40</v>
      </c>
      <c r="C19" s="4" t="s">
        <v>41</v>
      </c>
      <c r="D19" s="4" t="s">
        <v>22</v>
      </c>
      <c r="E19" s="4" t="s">
        <v>83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2</v>
      </c>
      <c r="M19" s="1">
        <v>0</v>
      </c>
      <c r="N19" s="1">
        <v>8</v>
      </c>
      <c r="O19" s="1">
        <v>16</v>
      </c>
      <c r="P19" s="4" t="s">
        <v>3</v>
      </c>
      <c r="Q19" s="1">
        <v>76.7</v>
      </c>
      <c r="R19" s="1">
        <v>87</v>
      </c>
      <c r="S19" s="1">
        <v>91.6</v>
      </c>
      <c r="T19" s="1">
        <v>86</v>
      </c>
      <c r="U19" s="1">
        <v>89</v>
      </c>
      <c r="V19" s="1">
        <v>85</v>
      </c>
      <c r="W19" s="1">
        <v>1</v>
      </c>
      <c r="X19" s="1">
        <v>1</v>
      </c>
      <c r="Y19" s="1">
        <v>0</v>
      </c>
      <c r="Z19" s="1">
        <v>2</v>
      </c>
    </row>
    <row r="20" spans="1:26" x14ac:dyDescent="0.25">
      <c r="A20" s="4">
        <v>2027</v>
      </c>
      <c r="B20" s="4" t="s">
        <v>42</v>
      </c>
      <c r="C20" s="4" t="s">
        <v>43</v>
      </c>
      <c r="D20" s="4" t="s">
        <v>15</v>
      </c>
      <c r="E20" s="4" t="s">
        <v>82</v>
      </c>
      <c r="F20" s="1">
        <v>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5</v>
      </c>
      <c r="M20" s="1">
        <v>3</v>
      </c>
      <c r="N20" s="1">
        <v>8</v>
      </c>
      <c r="O20" s="1">
        <v>16</v>
      </c>
      <c r="P20" s="4" t="s">
        <v>3</v>
      </c>
      <c r="Q20" s="1">
        <v>96.1</v>
      </c>
      <c r="R20" s="1">
        <v>99.25</v>
      </c>
      <c r="S20" s="1">
        <v>97.3</v>
      </c>
      <c r="T20" s="1">
        <v>94</v>
      </c>
      <c r="U20" s="1">
        <v>96</v>
      </c>
      <c r="V20" s="1">
        <v>97.3</v>
      </c>
      <c r="W20" s="1">
        <v>0</v>
      </c>
      <c r="X20" s="1">
        <v>5</v>
      </c>
      <c r="Y20" s="1">
        <v>2</v>
      </c>
      <c r="Z20" s="1">
        <v>2</v>
      </c>
    </row>
    <row r="21" spans="1:26" x14ac:dyDescent="0.25">
      <c r="A21" s="4">
        <v>2027</v>
      </c>
      <c r="B21" s="4" t="s">
        <v>44</v>
      </c>
      <c r="C21" s="4" t="s">
        <v>45</v>
      </c>
      <c r="D21" s="4" t="s">
        <v>2</v>
      </c>
      <c r="E21" s="4" t="s">
        <v>85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8</v>
      </c>
      <c r="O21" s="1">
        <v>16</v>
      </c>
      <c r="P21" s="4" t="s">
        <v>3</v>
      </c>
      <c r="Q21" s="1">
        <v>80</v>
      </c>
      <c r="R21" s="1">
        <v>86</v>
      </c>
      <c r="S21" s="1">
        <v>80</v>
      </c>
      <c r="T21" s="1">
        <v>83</v>
      </c>
      <c r="U21" s="1">
        <v>81</v>
      </c>
      <c r="V21" s="1">
        <v>87</v>
      </c>
      <c r="W21" s="1">
        <v>1</v>
      </c>
      <c r="X21" s="1">
        <v>1</v>
      </c>
      <c r="Y21" s="1">
        <v>0</v>
      </c>
      <c r="Z21" s="1">
        <v>3</v>
      </c>
    </row>
    <row r="22" spans="1:26" x14ac:dyDescent="0.25">
      <c r="A22" s="4">
        <v>2027</v>
      </c>
      <c r="B22" s="4" t="s">
        <v>46</v>
      </c>
      <c r="C22" s="4" t="s">
        <v>47</v>
      </c>
      <c r="D22" s="4" t="s">
        <v>2</v>
      </c>
      <c r="E22" s="4" t="s">
        <v>82</v>
      </c>
      <c r="F22" s="1">
        <v>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8</v>
      </c>
      <c r="O22" s="1">
        <v>16</v>
      </c>
      <c r="P22" s="4" t="s">
        <v>3</v>
      </c>
      <c r="Q22" s="1">
        <v>80</v>
      </c>
      <c r="R22" s="1">
        <v>82</v>
      </c>
      <c r="S22" s="1">
        <v>80</v>
      </c>
      <c r="T22" s="1">
        <v>83</v>
      </c>
      <c r="U22" s="1">
        <v>80</v>
      </c>
      <c r="V22" s="1">
        <v>82</v>
      </c>
      <c r="W22" s="1">
        <v>1</v>
      </c>
      <c r="X22" s="1">
        <v>4</v>
      </c>
      <c r="Y22" s="1">
        <v>0</v>
      </c>
      <c r="Z22" s="1">
        <v>4</v>
      </c>
    </row>
    <row r="23" spans="1:26" x14ac:dyDescent="0.25">
      <c r="A23" s="4">
        <v>2027</v>
      </c>
      <c r="B23" s="4" t="s">
        <v>48</v>
      </c>
      <c r="C23" s="4" t="s">
        <v>49</v>
      </c>
      <c r="D23" s="4" t="s">
        <v>22</v>
      </c>
      <c r="E23" s="4" t="s">
        <v>85</v>
      </c>
      <c r="F23" s="1">
        <v>2</v>
      </c>
      <c r="G23" s="1">
        <v>1</v>
      </c>
      <c r="H23" s="1">
        <v>1</v>
      </c>
      <c r="I23" s="1">
        <v>0</v>
      </c>
      <c r="J23" s="1">
        <v>2</v>
      </c>
      <c r="K23" s="1">
        <v>0</v>
      </c>
      <c r="L23" s="1">
        <v>3</v>
      </c>
      <c r="M23" s="1">
        <v>3</v>
      </c>
      <c r="N23" s="1">
        <v>8</v>
      </c>
      <c r="O23" s="1">
        <v>16</v>
      </c>
      <c r="P23" s="4" t="s">
        <v>3</v>
      </c>
      <c r="Q23" s="1">
        <v>88.7</v>
      </c>
      <c r="R23" s="1">
        <v>93.5</v>
      </c>
      <c r="S23" s="1">
        <v>89.5</v>
      </c>
      <c r="T23" s="1">
        <v>91.75</v>
      </c>
      <c r="U23" s="1">
        <v>89.33</v>
      </c>
      <c r="V23" s="1">
        <v>89.5</v>
      </c>
      <c r="W23" s="1">
        <v>2</v>
      </c>
      <c r="X23" s="1">
        <v>4</v>
      </c>
      <c r="Y23" s="1">
        <v>2</v>
      </c>
      <c r="Z23" s="1">
        <v>4</v>
      </c>
    </row>
    <row r="24" spans="1:26" x14ac:dyDescent="0.25">
      <c r="A24" s="4">
        <v>2027</v>
      </c>
      <c r="B24" s="4" t="s">
        <v>50</v>
      </c>
      <c r="C24" s="4" t="s">
        <v>51</v>
      </c>
      <c r="D24" s="4" t="s">
        <v>2</v>
      </c>
      <c r="E24" s="4" t="s">
        <v>85</v>
      </c>
      <c r="F24" s="1">
        <v>2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1</v>
      </c>
      <c r="M24" s="1">
        <v>2</v>
      </c>
      <c r="N24" s="1">
        <v>8</v>
      </c>
      <c r="O24" s="1">
        <v>16</v>
      </c>
      <c r="P24" s="4" t="s">
        <v>3</v>
      </c>
      <c r="Q24" s="1">
        <v>86</v>
      </c>
      <c r="R24" s="1">
        <v>88</v>
      </c>
      <c r="S24" s="1">
        <v>89</v>
      </c>
      <c r="T24" s="1">
        <v>90</v>
      </c>
      <c r="U24" s="1">
        <v>89</v>
      </c>
      <c r="V24" s="1">
        <v>90</v>
      </c>
      <c r="W24" s="1">
        <v>2</v>
      </c>
      <c r="X24" s="1">
        <v>8</v>
      </c>
      <c r="Y24" s="1">
        <v>3</v>
      </c>
      <c r="Z24" s="1">
        <v>4</v>
      </c>
    </row>
    <row r="25" spans="1:26" x14ac:dyDescent="0.25">
      <c r="A25" s="4">
        <v>2027</v>
      </c>
      <c r="B25" s="4" t="s">
        <v>52</v>
      </c>
      <c r="C25" s="4" t="s">
        <v>53</v>
      </c>
      <c r="D25" s="4" t="s">
        <v>22</v>
      </c>
      <c r="E25" s="4" t="s">
        <v>86</v>
      </c>
      <c r="F25" s="1">
        <v>4</v>
      </c>
      <c r="G25" s="1">
        <v>2</v>
      </c>
      <c r="H25" s="1">
        <v>1</v>
      </c>
      <c r="I25" s="1">
        <v>0</v>
      </c>
      <c r="J25" s="1">
        <v>2</v>
      </c>
      <c r="K25" s="1">
        <v>0</v>
      </c>
      <c r="L25" s="1">
        <v>3</v>
      </c>
      <c r="M25" s="1">
        <v>2</v>
      </c>
      <c r="N25" s="1">
        <v>9</v>
      </c>
      <c r="O25" s="1">
        <v>12</v>
      </c>
      <c r="P25" s="4" t="s">
        <v>3</v>
      </c>
      <c r="Q25" s="1">
        <v>80</v>
      </c>
      <c r="R25" s="1">
        <v>90</v>
      </c>
      <c r="S25" s="1">
        <v>90</v>
      </c>
      <c r="T25" s="1">
        <v>85</v>
      </c>
      <c r="U25" s="1">
        <v>80</v>
      </c>
      <c r="V25" s="1">
        <v>90</v>
      </c>
      <c r="W25" s="1">
        <v>1</v>
      </c>
      <c r="X25" s="1">
        <v>6</v>
      </c>
      <c r="Y25" s="1">
        <v>3</v>
      </c>
      <c r="Z25" s="1">
        <v>7</v>
      </c>
    </row>
    <row r="26" spans="1:26" x14ac:dyDescent="0.25">
      <c r="A26" s="4">
        <v>2027</v>
      </c>
      <c r="B26" s="4" t="s">
        <v>54</v>
      </c>
      <c r="C26" s="4" t="s">
        <v>55</v>
      </c>
      <c r="D26" s="4" t="s">
        <v>22</v>
      </c>
      <c r="E26" s="4" t="s">
        <v>85</v>
      </c>
      <c r="F26" s="1">
        <v>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4</v>
      </c>
      <c r="M26" s="1">
        <v>2</v>
      </c>
      <c r="N26" s="1">
        <v>8</v>
      </c>
      <c r="O26" s="1">
        <v>16</v>
      </c>
      <c r="P26" s="4" t="s">
        <v>3</v>
      </c>
      <c r="Q26" s="1">
        <v>80</v>
      </c>
      <c r="R26" s="1">
        <v>87</v>
      </c>
      <c r="S26" s="1">
        <v>88</v>
      </c>
      <c r="T26" s="1">
        <v>87</v>
      </c>
      <c r="U26" s="1">
        <v>86</v>
      </c>
      <c r="V26" s="1">
        <v>86</v>
      </c>
      <c r="W26" s="1">
        <v>1</v>
      </c>
      <c r="X26" s="1">
        <v>2</v>
      </c>
      <c r="Y26" s="1">
        <v>1</v>
      </c>
      <c r="Z26" s="1">
        <v>2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04E07CFF7B454C8EB3AFF283D054C7" ma:contentTypeVersion="3" ma:contentTypeDescription="Crear nuevo documento." ma:contentTypeScope="" ma:versionID="bbe45daff80507f3f85f40920c15159c">
  <xsd:schema xmlns:xsd="http://www.w3.org/2001/XMLSchema" xmlns:xs="http://www.w3.org/2001/XMLSchema" xmlns:p="http://schemas.microsoft.com/office/2006/metadata/properties" xmlns:ns2="3cc133de-4c84-4721-81b9-1756861e2365" targetNamespace="http://schemas.microsoft.com/office/2006/metadata/properties" ma:root="true" ma:fieldsID="6197d804e2bb422be2f1bda22a45f28b" ns2:_="">
    <xsd:import namespace="3cc133de-4c84-4721-81b9-1756861e23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133de-4c84-4721-81b9-1756861e23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0D6959-2B4D-4AFE-B6E8-6EF0CCAED0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133de-4c84-4721-81b9-1756861e23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06B113-CBD0-4549-88E8-6341E35F61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AD596A-C057-4FFA-A514-5825E10C7D8F}">
  <ds:schemaRefs>
    <ds:schemaRef ds:uri="http://purl.org/dc/dcmitype/"/>
    <ds:schemaRef ds:uri="http://schemas.openxmlformats.org/package/2006/metadata/core-properties"/>
    <ds:schemaRef ds:uri="3cc133de-4c84-4721-81b9-1756861e2365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TICS03</dc:creator>
  <cp:keywords/>
  <dc:description/>
  <cp:lastModifiedBy>JESUS  LOPEZ SILVA</cp:lastModifiedBy>
  <cp:revision/>
  <dcterms:created xsi:type="dcterms:W3CDTF">2022-10-26T19:12:36Z</dcterms:created>
  <dcterms:modified xsi:type="dcterms:W3CDTF">2026-09-23T01:35:41Z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0x0101009404E07CFF7B454C8EB3AFF283D054C7</vt:lpwstr>
  </property>
</Properties>
</file>